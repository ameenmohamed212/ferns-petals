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E:\ferns_petals project\"/>
    </mc:Choice>
  </mc:AlternateContent>
  <xr:revisionPtr revIDLastSave="0" documentId="13_ncr:1_{262CA16C-8605-44D1-A347-3A8300CF241F}" xr6:coauthVersionLast="47" xr6:coauthVersionMax="47" xr10:uidLastSave="{00000000-0000-0000-0000-000000000000}"/>
  <bookViews>
    <workbookView xWindow="-108" yWindow="-108" windowWidth="23256" windowHeight="12456" activeTab="1" xr2:uid="{D0C43327-9A74-46A1-8DED-27266F86A6E4}"/>
  </bookViews>
  <sheets>
    <sheet name="Sheet1" sheetId="1" r:id="rId1"/>
    <sheet name="dashboard" sheetId="2" r:id="rId2"/>
  </sheets>
  <definedNames>
    <definedName name="Slicer_Occasion">#N/A</definedName>
    <definedName name="Slicer_order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5ff32f1-eb48-4aa2-abb7-f0364ae2c897" name="customers" connection="Query - customers"/>
          <x15:modelTable id="orders_5711775d-ad71-4670-aec6-9891a974d6b1" name="orders" connection="Query - orders"/>
          <x15:modelTable id="products_6b577e0a-2340-4299-ba6f-381132a8866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18729D-083D-4482-AE2A-72095ABF04CF}" name="Query - customers" description="Connection to the 'customers' query in the workbook." type="100" refreshedVersion="8" minRefreshableVersion="5">
    <extLst>
      <ext xmlns:x15="http://schemas.microsoft.com/office/spreadsheetml/2010/11/main" uri="{DE250136-89BD-433C-8126-D09CA5730AF9}">
        <x15:connection id="527bce79-b8d3-4337-8381-441fef1da60d">
          <x15:oledbPr connection="Provider=Microsoft.Mashup.OleDb.1;Data Source=$Workbook$;Location=customers;Extended Properties=&quot;&quot;">
            <x15:dbTables>
              <x15:dbTable name="customers"/>
            </x15:dbTables>
          </x15:oledbPr>
        </x15:connection>
      </ext>
    </extLst>
  </connection>
  <connection id="2" xr16:uid="{81743FD0-1A7C-4EDD-959A-854C83743EA2}" name="Query - orders" description="Connection to the 'orders' query in the workbook." type="100" refreshedVersion="8" minRefreshableVersion="5">
    <extLst>
      <ext xmlns:x15="http://schemas.microsoft.com/office/spreadsheetml/2010/11/main" uri="{DE250136-89BD-433C-8126-D09CA5730AF9}">
        <x15:connection id="2cb5e998-b7cf-4fb1-94d5-bfc51060991a"/>
      </ext>
    </extLst>
  </connection>
  <connection id="3" xr16:uid="{CAF024A6-547F-4A75-9B82-0ABC59DEB1DB}" name="Query - products" description="Connection to the 'products' query in the workbook." type="100" refreshedVersion="8" minRefreshableVersion="5">
    <extLst>
      <ext xmlns:x15="http://schemas.microsoft.com/office/spreadsheetml/2010/11/main" uri="{DE250136-89BD-433C-8126-D09CA5730AF9}">
        <x15:connection id="6e763bc7-cc94-4600-a043-94a8e792c8a2">
          <x15:oledbPr connection="Provider=Microsoft.Mashup.OleDb.1;Data Source=$Workbook$;Location=products;Extended Properties=&quot;&quot;">
            <x15:dbTables>
              <x15:dbTable name="products"/>
            </x15:dbTables>
          </x15:oledbPr>
        </x15:connection>
      </ext>
    </extLst>
  </connection>
  <connection id="4" xr16:uid="{AD50FBE8-47B4-45AB-AA4D-8A688E2481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<sst xmlns="http://schemas.openxmlformats.org/spreadsheetml/2006/main" count="66" uniqueCount="47">
  <si>
    <t>Sum of Revenue</t>
  </si>
  <si>
    <t>Average of diff_orderdate_deliverydate</t>
  </si>
  <si>
    <t>Row Labels</t>
  </si>
  <si>
    <t>April</t>
  </si>
  <si>
    <t>August</t>
  </si>
  <si>
    <t>December</t>
  </si>
  <si>
    <t>February</t>
  </si>
  <si>
    <t>January</t>
  </si>
  <si>
    <t>July</t>
  </si>
  <si>
    <t>June</t>
  </si>
  <si>
    <t>March</t>
  </si>
  <si>
    <t>May</t>
  </si>
  <si>
    <t>November</t>
  </si>
  <si>
    <t>October</t>
  </si>
  <si>
    <t>September</t>
  </si>
  <si>
    <t>Grand Total</t>
  </si>
  <si>
    <t>Deserunt Box</t>
  </si>
  <si>
    <t>Dolores Gift</t>
  </si>
  <si>
    <t>Harum Pack</t>
  </si>
  <si>
    <t>Magnam Set</t>
  </si>
  <si>
    <t>Quia Gift</t>
  </si>
  <si>
    <t>Average of Revenue</t>
  </si>
  <si>
    <t>Colors</t>
  </si>
  <si>
    <t>Soft Toys</t>
  </si>
  <si>
    <t>Raksha Bandhan</t>
  </si>
  <si>
    <t>Cake</t>
  </si>
  <si>
    <t>Mugs</t>
  </si>
  <si>
    <t>Plants</t>
  </si>
  <si>
    <t>Sweets</t>
  </si>
  <si>
    <t>Bhilai</t>
  </si>
  <si>
    <t>Bulandshahr</t>
  </si>
  <si>
    <t>Count of Order_ID</t>
  </si>
  <si>
    <t>Darbhanga</t>
  </si>
  <si>
    <t>Khammam</t>
  </si>
  <si>
    <t>Bareilly</t>
  </si>
  <si>
    <t>Lucknow</t>
  </si>
  <si>
    <t>Alwar</t>
  </si>
  <si>
    <t>Ghaziabad</t>
  </si>
  <si>
    <t>Muzaffarnagar</t>
  </si>
  <si>
    <t>Hazaribagh</t>
  </si>
  <si>
    <t>Average of Hour</t>
  </si>
  <si>
    <t>All Occasions</t>
  </si>
  <si>
    <t>Anniversary</t>
  </si>
  <si>
    <t>Birthday</t>
  </si>
  <si>
    <t>Diwali</t>
  </si>
  <si>
    <t>Holi</t>
  </si>
  <si>
    <t>Valentine's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</si>
</sst>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fill>
        <patternFill>
          <bgColor theme="4"/>
        </patternFill>
      </fill>
    </dxf>
  </dxfs>
  <tableStyles count="1" defaultTableStyle="TableStyleMedium2" defaultPivotStyle="PivotStyleLight16">
    <tableStyle name="Slicer Style 1" pivot="0" table="0" count="1" xr9:uid="{55302D71-77BE-44B7-A521-3F0B54F677E2}">
      <tableStyleElement type="wholeTable" dxfId="0"/>
    </tableStyle>
  </tableStyles>
  <colors>
    <mruColors>
      <color rgb="FF30416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[ferns _petals_project.xlsx]Sheet1!PivotTable3</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Sheet1!$D$6</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cat>
            <c:strRef>
              <c:f>Sheet1!$C$7:$C$19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Sheet1!$D$7:$D$19</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838-4A19-9F7E-67A1487487C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00919951"/>
        <c:axId val="1400925231"/>
      </c:lineChart>
      <c:catAx>
        <c:axId val="14009199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00925231"/>
        <c:crosses val="autoZero"/>
        <c:auto val="1"/>
        <c:lblAlgn val="ctr"/>
        <c:lblOffset val="100"/>
        <c:noMultiLvlLbl val="0"/>
      </c:catAx>
      <c:valAx>
        <c:axId val="140092523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091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[ferns _petals_project.xlsx]Sheet1!PivotTable4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Sheet1!$G$7</c:f>
              <c:strCache>
                <c:ptCount val="1"/>
                <c:pt idx="0">
                  <c:v>Total</c:v>
                </c:pt>
              </c:strCache>
            </c:strRef>
          </c:tx>
          <c:spPr>
            <a:pattFill prst="ltUpDiag">
              <a:fgClr>
                <a:schemeClr val="accent3"/>
              </a:fgClr>
              <a:bgClr>
                <a:schemeClr val="lt1"/>
              </a:bgClr>
            </a:pattFill>
            <a:ln>
              <a:noFill/>
            </a:ln>
            <a:effectLst/>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Sheet1!$F$8:$F$13</c:f>
              <c:strCache>
                <c:ptCount val="5"/>
                <c:pt idx="0">
                  <c:v>Deserunt Box</c:v>
                </c:pt>
                <c:pt idx="1">
                  <c:v>Dolores Gift</c:v>
                </c:pt>
                <c:pt idx="2">
                  <c:v>Harum Pack</c:v>
                </c:pt>
                <c:pt idx="3">
                  <c:v>Magnam Set</c:v>
                </c:pt>
                <c:pt idx="4">
                  <c:v>Quia Gift</c:v>
                </c:pt>
              </c:strCache>
            </c:strRef>
          </c:cat>
          <c:val>
            <c:numRef>
              <c:f>Sheet1!$G$8:$G$13</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D7B-4F39-826D-7D718BBE3B6A}"/>
            </c:ext>
          </c:extLst>
        </c:ser>
        <c:dLbls>
          <c:showLegendKey val="0"/>
          <c:showVal val="0"/>
          <c:showCatName val="0"/>
          <c:showSerName val="0"/>
          <c:showPercent val="0"/>
          <c:showBubbleSize val="0"/>
        </c:dLbls>
        <c:gapWidth val="269"/>
        <c:overlap val="-20"/>
        <c:axId val="1912483359"/>
        <c:axId val="1912483839"/>
      </c:barChart>
      <c:catAx>
        <c:axId val="1912483359"/>
        <c:scaling>
          <c:orientation val="minMax"/>
        </c:scaling>
        <c:delete val="0"/>
        <c:axPos val="b"/>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12483839"/>
        <c:crosses val="autoZero"/>
        <c:auto val="1"/>
        <c:lblAlgn val="ctr"/>
        <c:lblOffset val="100"/>
        <c:noMultiLvlLbl val="0"/>
      </c:catAx>
      <c:valAx>
        <c:axId val="1912483839"/>
        <c:scaling>
          <c:orientation val="minMax"/>
        </c:scaling>
        <c:delete val="1"/>
        <c:axPos val="l"/>
        <c:numFmt formatCode="\$#,##0.00;\(\$#,##0.00\);\$#,##0.00" sourceLinked="1"/>
        <c:majorTickMark val="none"/>
        <c:minorTickMark val="none"/>
        <c:tickLblPos val="nextTo"/>
        <c:crossAx val="191248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[ferns _petals_project.xlsx]Sheet1!PivotTable9</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Category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Sheet1!$D$22</c:f>
              <c:strCache>
                <c:ptCount val="1"/>
                <c:pt idx="0">
                  <c:v>Total</c:v>
                </c:pt>
              </c:strCache>
            </c:strRef>
          </c:tx>
          <c:spPr>
            <a:pattFill prst="ltUpDiag">
              <a:fgClr>
                <a:schemeClr val="accent3"/>
              </a:fgClr>
              <a:bgClr>
                <a:schemeClr val="lt1"/>
              </a:bgClr>
            </a:pattFill>
            <a:ln>
              <a:noFill/>
            </a:ln>
            <a:effectLst/>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Sheet1!$C$23:$C$30</c:f>
              <c:strCache>
                <c:ptCount val="7"/>
                <c:pt idx="0">
                  <c:v>Cake</c:v>
                </c:pt>
                <c:pt idx="1">
                  <c:v>Colors</c:v>
                </c:pt>
                <c:pt idx="2">
                  <c:v>Mugs</c:v>
                </c:pt>
                <c:pt idx="3">
                  <c:v>Plants</c:v>
                </c:pt>
                <c:pt idx="4">
                  <c:v>Raksha Bandhan</c:v>
                </c:pt>
                <c:pt idx="5">
                  <c:v>Soft Toys</c:v>
                </c:pt>
                <c:pt idx="6">
                  <c:v>Sweets</c:v>
                </c:pt>
              </c:strCache>
            </c:strRef>
          </c:cat>
          <c:val>
            <c:numRef>
              <c:f>Sheet1!$D$23:$D$30</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75F-46F2-A55A-7FDFB7090161}"/>
            </c:ext>
          </c:extLst>
        </c:ser>
        <c:dLbls>
          <c:showLegendKey val="0"/>
          <c:showVal val="0"/>
          <c:showCatName val="0"/>
          <c:showSerName val="0"/>
          <c:showPercent val="0"/>
          <c:showBubbleSize val="0"/>
        </c:dLbls>
        <c:gapWidth val="269"/>
        <c:axId val="1484243279"/>
        <c:axId val="1484241359"/>
      </c:barChart>
      <c:catAx>
        <c:axId val="1484243279"/>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84241359"/>
        <c:crosses val="autoZero"/>
        <c:auto val="1"/>
        <c:lblAlgn val="ctr"/>
        <c:lblOffset val="100"/>
        <c:noMultiLvlLbl val="0"/>
      </c:catAx>
      <c:valAx>
        <c:axId val="1484241359"/>
        <c:scaling>
          <c:orientation val="minMax"/>
        </c:scaling>
        <c:delete val="1"/>
        <c:axPos val="b"/>
        <c:numFmt formatCode="\$#,##0.00;\(\$#,##0.00\);\$#,##0.00" sourceLinked="1"/>
        <c:majorTickMark val="none"/>
        <c:minorTickMark val="none"/>
        <c:tickLblPos val="nextTo"/>
        <c:crossAx val="148424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[ferns _petals_project.xlsx]Sheet1!PivotTable10</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Sheet1!$M$5</c:f>
              <c:strCache>
                <c:ptCount val="1"/>
                <c:pt idx="0">
                  <c:v>Total</c:v>
                </c:pt>
              </c:strCache>
            </c:strRef>
          </c:tx>
          <c:spPr>
            <a:pattFill prst="ltUpDiag">
              <a:fgClr>
                <a:schemeClr val="accent3"/>
              </a:fgClr>
              <a:bgClr>
                <a:schemeClr val="lt1"/>
              </a:bgClr>
            </a:pattFill>
            <a:ln>
              <a:noFill/>
            </a:ln>
            <a:effectLst/>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Sheet1!$L$6:$L$16</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Sheet1!$M$6:$M$16</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E22B-439E-A8CB-8EDF4A899CEB}"/>
            </c:ext>
          </c:extLst>
        </c:ser>
        <c:dLbls>
          <c:dLblPos val="outEnd"/>
          <c:showLegendKey val="0"/>
          <c:showVal val="1"/>
          <c:showCatName val="0"/>
          <c:showSerName val="0"/>
          <c:showPercent val="0"/>
          <c:showBubbleSize val="0"/>
        </c:dLbls>
        <c:gapWidth val="269"/>
        <c:overlap val="-20"/>
        <c:axId val="592590832"/>
        <c:axId val="592591312"/>
      </c:barChart>
      <c:catAx>
        <c:axId val="592590832"/>
        <c:scaling>
          <c:orientation val="minMax"/>
        </c:scaling>
        <c:delete val="0"/>
        <c:axPos val="b"/>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92591312"/>
        <c:crosses val="autoZero"/>
        <c:auto val="1"/>
        <c:lblAlgn val="ctr"/>
        <c:lblOffset val="100"/>
        <c:noMultiLvlLbl val="0"/>
      </c:catAx>
      <c:valAx>
        <c:axId val="592591312"/>
        <c:scaling>
          <c:orientation val="minMax"/>
        </c:scaling>
        <c:delete val="1"/>
        <c:axPos val="l"/>
        <c:numFmt formatCode="General" sourceLinked="1"/>
        <c:majorTickMark val="none"/>
        <c:minorTickMark val="none"/>
        <c:tickLblPos val="nextTo"/>
        <c:crossAx val="59259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[ferns _petals_project.xlsx]Sheet1!PivotTable12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Sheet1!$P$53</c:f>
              <c:strCache>
                <c:ptCount val="1"/>
                <c:pt idx="0">
                  <c:v>Total</c:v>
                </c:pt>
              </c:strCache>
            </c:strRef>
          </c:tx>
          <c:spPr>
            <a:pattFill prst="ltUpDiag">
              <a:fgClr>
                <a:schemeClr val="accent3"/>
              </a:fgClr>
              <a:bgClr>
                <a:schemeClr val="lt1"/>
              </a:bgClr>
            </a:pattFill>
            <a:ln>
              <a:noFill/>
            </a:ln>
            <a:effectLst/>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Sheet1!$O$54:$O$61</c:f>
              <c:strCache>
                <c:ptCount val="7"/>
                <c:pt idx="0">
                  <c:v>All Occasions</c:v>
                </c:pt>
                <c:pt idx="1">
                  <c:v>Anniversary</c:v>
                </c:pt>
                <c:pt idx="2">
                  <c:v>Birthday</c:v>
                </c:pt>
                <c:pt idx="3">
                  <c:v>Diwali</c:v>
                </c:pt>
                <c:pt idx="4">
                  <c:v>Holi</c:v>
                </c:pt>
                <c:pt idx="5">
                  <c:v>Raksha Bandhan</c:v>
                </c:pt>
                <c:pt idx="6">
                  <c:v>Valentine's Day</c:v>
                </c:pt>
              </c:strCache>
            </c:strRef>
          </c:cat>
          <c:val>
            <c:numRef>
              <c:f>Sheet1!$P$54:$P$61</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67F-4C53-B192-737DBA59EFB7}"/>
            </c:ext>
          </c:extLst>
        </c:ser>
        <c:dLbls>
          <c:dLblPos val="outEnd"/>
          <c:showLegendKey val="0"/>
          <c:showVal val="1"/>
          <c:showCatName val="0"/>
          <c:showSerName val="0"/>
          <c:showPercent val="0"/>
          <c:showBubbleSize val="0"/>
        </c:dLbls>
        <c:gapWidth val="269"/>
        <c:axId val="596739216"/>
        <c:axId val="596741616"/>
      </c:barChart>
      <c:catAx>
        <c:axId val="596739216"/>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96741616"/>
        <c:crosses val="autoZero"/>
        <c:auto val="1"/>
        <c:lblAlgn val="ctr"/>
        <c:lblOffset val="100"/>
        <c:noMultiLvlLbl val="0"/>
      </c:catAx>
      <c:valAx>
        <c:axId val="596741616"/>
        <c:scaling>
          <c:orientation val="minMax"/>
        </c:scaling>
        <c:delete val="1"/>
        <c:axPos val="b"/>
        <c:numFmt formatCode="\$#,##0.00;\(\$#,##0.00\);\$#,##0.00" sourceLinked="1"/>
        <c:majorTickMark val="none"/>
        <c:minorTickMark val="none"/>
        <c:tickLblPos val="nextTo"/>
        <c:crossAx val="59673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[ferns _petals_project.xlsx]Sheet1!PivotTable13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a:t>
            </a:r>
            <a:r>
              <a:rPr lang="en-US" baseline="0"/>
              <a:t> Housrs(orderd 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Sheet1!$G$18</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cat>
            <c:strRef>
              <c:f>Sheet1!$F$19:$F$29</c:f>
              <c:strCache>
                <c:ptCount val="10"/>
                <c:pt idx="0">
                  <c:v>5</c:v>
                </c:pt>
                <c:pt idx="1">
                  <c:v>6</c:v>
                </c:pt>
                <c:pt idx="2">
                  <c:v>12</c:v>
                </c:pt>
                <c:pt idx="3">
                  <c:v>15</c:v>
                </c:pt>
                <c:pt idx="4">
                  <c:v>17</c:v>
                </c:pt>
                <c:pt idx="5">
                  <c:v>18</c:v>
                </c:pt>
                <c:pt idx="6">
                  <c:v>19</c:v>
                </c:pt>
                <c:pt idx="7">
                  <c:v>20</c:v>
                </c:pt>
                <c:pt idx="8">
                  <c:v>21</c:v>
                </c:pt>
                <c:pt idx="9">
                  <c:v>23</c:v>
                </c:pt>
              </c:strCache>
            </c:strRef>
          </c:cat>
          <c:val>
            <c:numRef>
              <c:f>Sheet1!$G$19:$G$29</c:f>
              <c:numCache>
                <c:formatCode>\$#,##0.00;\(\$#,##0.00\);\$#,##0.00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EC2B-46E0-94E3-82461E7B0CC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3551888"/>
        <c:axId val="173549968"/>
      </c:lineChart>
      <c:catAx>
        <c:axId val="1735518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3549968"/>
        <c:crosses val="autoZero"/>
        <c:auto val="1"/>
        <c:lblAlgn val="ctr"/>
        <c:lblOffset val="100"/>
        <c:noMultiLvlLbl val="0"/>
      </c:catAx>
      <c:valAx>
        <c:axId val="17354996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55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97972</xdr:colOff>
      <xdr:row>8</xdr:row>
      <xdr:rowOff>60479</xdr:rowOff>
    </xdr:from>
    <xdr:to>
      <xdr:col>7</xdr:col>
      <xdr:colOff>449905</xdr:colOff>
      <xdr:row>23</xdr:row>
      <xdr:rowOff>60479</xdr:rowOff>
    </xdr:to>
    <xdr:graphicFrame macro="">
      <xdr:nvGraphicFramePr>
        <xdr:cNvPr id="2" name="Chart 1">
          <a:extLst>
            <a:ext uri="{FF2B5EF4-FFF2-40B4-BE49-F238E27FC236}">
              <a16:creationId xmlns:a16="http://schemas.microsoft.com/office/drawing/2014/main" id="{7945587B-17BA-43C5-BD83-979467B1C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111458</xdr:colOff>
      <xdr:row>23</xdr:row>
      <xdr:rowOff>1809</xdr:rowOff>
    </xdr:from>
    <xdr:to>
      <xdr:col>7</xdr:col>
      <xdr:colOff>457821</xdr:colOff>
      <xdr:row>39</xdr:row>
      <xdr:rowOff>110435</xdr:rowOff>
    </xdr:to>
    <xdr:graphicFrame macro="">
      <xdr:nvGraphicFramePr>
        <xdr:cNvPr id="3" name="Chart 2">
          <a:extLst>
            <a:ext uri="{FF2B5EF4-FFF2-40B4-BE49-F238E27FC236}">
              <a16:creationId xmlns:a16="http://schemas.microsoft.com/office/drawing/2014/main" id="{0211D64C-F914-4044-AC77-BE29C3F00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169470</xdr:colOff>
      <xdr:row>8</xdr:row>
      <xdr:rowOff>56555</xdr:rowOff>
    </xdr:from>
    <xdr:to>
      <xdr:col>23</xdr:col>
      <xdr:colOff>220870</xdr:colOff>
      <xdr:row>23</xdr:row>
      <xdr:rowOff>74974</xdr:rowOff>
    </xdr:to>
    <xdr:graphicFrame macro="">
      <xdr:nvGraphicFramePr>
        <xdr:cNvPr id="4" name="Chart 3">
          <a:extLst>
            <a:ext uri="{FF2B5EF4-FFF2-40B4-BE49-F238E27FC236}">
              <a16:creationId xmlns:a16="http://schemas.microsoft.com/office/drawing/2014/main" id="{6B0043FF-A930-4A10-869D-619D2408C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458024</xdr:colOff>
      <xdr:row>8</xdr:row>
      <xdr:rowOff>55480</xdr:rowOff>
    </xdr:from>
    <xdr:to>
      <xdr:col>15</xdr:col>
      <xdr:colOff>180934</xdr:colOff>
      <xdr:row>23</xdr:row>
      <xdr:rowOff>71066</xdr:rowOff>
    </xdr:to>
    <xdr:graphicFrame macro="">
      <xdr:nvGraphicFramePr>
        <xdr:cNvPr id="5" name="Chart 4">
          <a:extLst>
            <a:ext uri="{FF2B5EF4-FFF2-40B4-BE49-F238E27FC236}">
              <a16:creationId xmlns:a16="http://schemas.microsoft.com/office/drawing/2014/main" id="{2AC80A55-A90E-421A-82EE-62ABB5A2D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409432</xdr:colOff>
      <xdr:row>23</xdr:row>
      <xdr:rowOff>49524</xdr:rowOff>
    </xdr:from>
    <xdr:to>
      <xdr:col>15</xdr:col>
      <xdr:colOff>228600</xdr:colOff>
      <xdr:row>39</xdr:row>
      <xdr:rowOff>108857</xdr:rowOff>
    </xdr:to>
    <xdr:graphicFrame macro="">
      <xdr:nvGraphicFramePr>
        <xdr:cNvPr id="6" name="Chart 5">
          <a:extLst>
            <a:ext uri="{FF2B5EF4-FFF2-40B4-BE49-F238E27FC236}">
              <a16:creationId xmlns:a16="http://schemas.microsoft.com/office/drawing/2014/main" id="{48679EA6-9922-49A9-8163-5755BA32D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235422</xdr:colOff>
      <xdr:row>23</xdr:row>
      <xdr:rowOff>24698</xdr:rowOff>
    </xdr:from>
    <xdr:to>
      <xdr:col>23</xdr:col>
      <xdr:colOff>246796</xdr:colOff>
      <xdr:row>39</xdr:row>
      <xdr:rowOff>87085</xdr:rowOff>
    </xdr:to>
    <xdr:graphicFrame macro="">
      <xdr:nvGraphicFramePr>
        <xdr:cNvPr id="7" name="Chart 6">
          <a:extLst>
            <a:ext uri="{FF2B5EF4-FFF2-40B4-BE49-F238E27FC236}">
              <a16:creationId xmlns:a16="http://schemas.microsoft.com/office/drawing/2014/main" id="{41591AE1-1BA2-4869-9E4C-96A0B93C6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238150</xdr:colOff>
      <xdr:row>24</xdr:row>
      <xdr:rowOff>12869</xdr:rowOff>
    </xdr:from>
    <xdr:to>
      <xdr:col>26</xdr:col>
      <xdr:colOff>262468</xdr:colOff>
      <xdr:row>39</xdr:row>
      <xdr:rowOff>66261</xdr:rowOff>
    </xdr:to>
    <mc:AlternateContent xmlns:mc="http://schemas.openxmlformats.org/markup-compatibility/2006" xmlns:a14="http://schemas.microsoft.com/office/drawing/2010/main">
      <mc:Choice Requires="a14">
        <xdr:graphicFrame macro="">
          <xdr:nvGraphicFramePr>
            <xdr:cNvPr id="8" name="Occasion 1">
              <a:extLst>
                <a:ext uri="{FF2B5EF4-FFF2-40B4-BE49-F238E27FC236}">
                  <a16:creationId xmlns:a16="http://schemas.microsoft.com/office/drawing/2014/main" id="{3BE05104-87D9-4E20-B7D7-3B8E4917EDB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208150" y="4518608"/>
              <a:ext cx="1846492" cy="2869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222802</xdr:colOff>
      <xdr:row>2</xdr:row>
      <xdr:rowOff>128693</xdr:rowOff>
    </xdr:from>
    <xdr:to>
      <xdr:col>10</xdr:col>
      <xdr:colOff>159222</xdr:colOff>
      <xdr:row>7</xdr:row>
      <xdr:rowOff>174199</xdr:rowOff>
    </xdr:to>
    <xdr:sp macro="" textlink="Sheet1!C4">
      <xdr:nvSpPr>
        <xdr:cNvPr id="9" name="Rectangle: Rounded Corners 8">
          <a:extLst>
            <a:ext uri="{FF2B5EF4-FFF2-40B4-BE49-F238E27FC236}">
              <a16:creationId xmlns:a16="http://schemas.microsoft.com/office/drawing/2014/main" id="{8616132C-0E8A-0AD0-CA82-49BE61B1620E}"/>
            </a:ext>
          </a:extLst>
        </xdr:cNvPr>
        <xdr:cNvSpPr/>
      </xdr:nvSpPr>
      <xdr:spPr>
        <a:xfrm>
          <a:off x="3867150" y="504171"/>
          <a:ext cx="2365985" cy="984202"/>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lumMod val="95000"/>
                </a:schemeClr>
              </a:solidFill>
              <a:latin typeface="Aptos Narrow"/>
            </a:rPr>
            <a:t>Total</a:t>
          </a:r>
          <a:r>
            <a:rPr lang="en-US" sz="1800" b="0" i="0" u="none" strike="noStrike" baseline="0">
              <a:solidFill>
                <a:schemeClr val="bg1">
                  <a:lumMod val="95000"/>
                </a:schemeClr>
              </a:solidFill>
              <a:latin typeface="Aptos Narrow"/>
            </a:rPr>
            <a:t> Revenue </a:t>
          </a:r>
          <a:br>
            <a:rPr lang="en-US" sz="1800" b="0" i="0" u="none" strike="noStrike">
              <a:solidFill>
                <a:schemeClr val="bg1">
                  <a:lumMod val="95000"/>
                </a:schemeClr>
              </a:solidFill>
              <a:latin typeface="Aptos Narrow"/>
            </a:rPr>
          </a:br>
          <a:fld id="{8DB63C7D-9994-458C-861A-A71C9EB23575}" type="TxLink">
            <a:rPr lang="en-US" sz="1800" b="0" i="0" u="none" strike="noStrike">
              <a:solidFill>
                <a:schemeClr val="bg1">
                  <a:lumMod val="95000"/>
                </a:schemeClr>
              </a:solidFill>
              <a:latin typeface="Aptos Narrow"/>
            </a:rPr>
            <a:pPr algn="ctr"/>
            <a:t>$3,520,984.00</a:t>
          </a:fld>
          <a:r>
            <a:rPr lang="en-US" sz="1800" b="0" i="0" u="none" strike="noStrike">
              <a:solidFill>
                <a:schemeClr val="bg1">
                  <a:lumMod val="95000"/>
                </a:schemeClr>
              </a:solidFill>
              <a:latin typeface="Aptos Narrow"/>
            </a:rPr>
            <a:t>  </a:t>
          </a:r>
          <a:endParaRPr lang="en-US" sz="1800">
            <a:solidFill>
              <a:schemeClr val="bg1">
                <a:lumMod val="95000"/>
              </a:schemeClr>
            </a:solidFill>
          </a:endParaRPr>
        </a:p>
      </xdr:txBody>
    </xdr:sp>
    <xdr:clientData/>
  </xdr:twoCellAnchor>
  <xdr:twoCellAnchor>
    <xdr:from>
      <xdr:col>10</xdr:col>
      <xdr:colOff>279499</xdr:colOff>
      <xdr:row>2</xdr:row>
      <xdr:rowOff>125554</xdr:rowOff>
    </xdr:from>
    <xdr:to>
      <xdr:col>14</xdr:col>
      <xdr:colOff>433552</xdr:colOff>
      <xdr:row>7</xdr:row>
      <xdr:rowOff>177337</xdr:rowOff>
    </xdr:to>
    <xdr:sp macro="" textlink="Sheet1!E4">
      <xdr:nvSpPr>
        <xdr:cNvPr id="10" name="Rectangle: Rounded Corners 9">
          <a:extLst>
            <a:ext uri="{FF2B5EF4-FFF2-40B4-BE49-F238E27FC236}">
              <a16:creationId xmlns:a16="http://schemas.microsoft.com/office/drawing/2014/main" id="{86A1BD56-4F4A-419B-B6A0-E2AEACFA607C}"/>
            </a:ext>
          </a:extLst>
        </xdr:cNvPr>
        <xdr:cNvSpPr/>
      </xdr:nvSpPr>
      <xdr:spPr>
        <a:xfrm>
          <a:off x="6353412" y="501032"/>
          <a:ext cx="2583618" cy="990479"/>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Aptos Narrow"/>
            </a:rPr>
            <a:t>Total</a:t>
          </a:r>
          <a:r>
            <a:rPr lang="en-US" sz="1800" b="0" i="0" u="none" strike="noStrike" baseline="0">
              <a:solidFill>
                <a:schemeClr val="bg1"/>
              </a:solidFill>
              <a:latin typeface="Aptos Narrow"/>
            </a:rPr>
            <a:t> Orders</a:t>
          </a:r>
          <a:br>
            <a:rPr lang="en-US" sz="1800" b="0" i="0" u="none" strike="noStrike">
              <a:solidFill>
                <a:schemeClr val="bg1"/>
              </a:solidFill>
              <a:latin typeface="Aptos Narrow"/>
            </a:rPr>
          </a:br>
          <a:fld id="{850AA2B0-AE14-42F1-A655-63EFDDC9F215}" type="TxLink">
            <a:rPr lang="en-US" sz="1800" b="0" i="0" u="none" strike="noStrike">
              <a:solidFill>
                <a:schemeClr val="bg1"/>
              </a:solidFill>
              <a:latin typeface="Aptos Narrow"/>
            </a:rPr>
            <a:pPr algn="ctr"/>
            <a:t>1000</a:t>
          </a:fld>
          <a:r>
            <a:rPr lang="en-US" sz="1100" b="0" i="0" u="none" strike="noStrike">
              <a:solidFill>
                <a:schemeClr val="bg1"/>
              </a:solidFill>
              <a:latin typeface="Aptos Narrow"/>
            </a:rPr>
            <a:t> </a:t>
          </a:r>
          <a:endParaRPr lang="en-US" sz="1100">
            <a:solidFill>
              <a:schemeClr val="bg1"/>
            </a:solidFill>
          </a:endParaRPr>
        </a:p>
      </xdr:txBody>
    </xdr:sp>
    <xdr:clientData/>
  </xdr:twoCellAnchor>
  <xdr:twoCellAnchor>
    <xdr:from>
      <xdr:col>14</xdr:col>
      <xdr:colOff>553829</xdr:colOff>
      <xdr:row>2</xdr:row>
      <xdr:rowOff>100529</xdr:rowOff>
    </xdr:from>
    <xdr:to>
      <xdr:col>18</xdr:col>
      <xdr:colOff>553479</xdr:colOff>
      <xdr:row>7</xdr:row>
      <xdr:rowOff>180277</xdr:rowOff>
    </xdr:to>
    <xdr:sp macro="" textlink="Sheet1!G4">
      <xdr:nvSpPr>
        <xdr:cNvPr id="11" name="Rectangle: Rounded Corners 10">
          <a:extLst>
            <a:ext uri="{FF2B5EF4-FFF2-40B4-BE49-F238E27FC236}">
              <a16:creationId xmlns:a16="http://schemas.microsoft.com/office/drawing/2014/main" id="{81A72903-868E-494B-9BD9-B25C8933F715}"/>
            </a:ext>
          </a:extLst>
        </xdr:cNvPr>
        <xdr:cNvSpPr/>
      </xdr:nvSpPr>
      <xdr:spPr>
        <a:xfrm>
          <a:off x="9057307" y="476007"/>
          <a:ext cx="2429215" cy="1018444"/>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lumMod val="95000"/>
                </a:schemeClr>
              </a:solidFill>
              <a:latin typeface="Aptos Narrow"/>
            </a:rPr>
            <a:t>Average</a:t>
          </a:r>
          <a:r>
            <a:rPr lang="en-US" sz="1600" b="0" i="0" u="none" strike="noStrike" baseline="0">
              <a:solidFill>
                <a:schemeClr val="bg1">
                  <a:lumMod val="95000"/>
                </a:schemeClr>
              </a:solidFill>
              <a:latin typeface="Aptos Narrow"/>
            </a:rPr>
            <a:t> Delivery Time </a:t>
          </a:r>
          <a:r>
            <a:rPr lang="en-US" sz="1600" b="0" i="0" u="none" strike="noStrike">
              <a:solidFill>
                <a:schemeClr val="bg1">
                  <a:lumMod val="95000"/>
                </a:schemeClr>
              </a:solidFill>
              <a:latin typeface="Aptos Narrow"/>
            </a:rPr>
            <a:t> </a:t>
          </a:r>
          <a:br>
            <a:rPr lang="en-US" sz="1600" b="0" i="0" u="none" strike="noStrike">
              <a:solidFill>
                <a:schemeClr val="bg1">
                  <a:lumMod val="95000"/>
                </a:schemeClr>
              </a:solidFill>
              <a:latin typeface="Aptos Narrow"/>
            </a:rPr>
          </a:br>
          <a:fld id="{BEE6D65D-17FF-4457-8C87-BEF753FF97E3}" type="TxLink">
            <a:rPr lang="en-US" sz="1600" b="0" i="0" u="none" strike="noStrike">
              <a:solidFill>
                <a:schemeClr val="bg1">
                  <a:lumMod val="95000"/>
                </a:schemeClr>
              </a:solidFill>
              <a:latin typeface="Aptos Narrow"/>
            </a:rPr>
            <a:pPr algn="ctr"/>
            <a:t>5.53</a:t>
          </a:fld>
          <a:r>
            <a:rPr lang="en-US" sz="1600" b="0" i="0" u="none" strike="noStrike">
              <a:solidFill>
                <a:schemeClr val="bg1">
                  <a:lumMod val="95000"/>
                </a:schemeClr>
              </a:solidFill>
              <a:latin typeface="Aptos Narrow"/>
            </a:rPr>
            <a:t> (Days)</a:t>
          </a:r>
          <a:endParaRPr lang="en-US" sz="1600">
            <a:solidFill>
              <a:schemeClr val="bg1">
                <a:lumMod val="95000"/>
              </a:schemeClr>
            </a:solidFill>
          </a:endParaRPr>
        </a:p>
      </xdr:txBody>
    </xdr:sp>
    <xdr:clientData/>
  </xdr:twoCellAnchor>
  <xdr:twoCellAnchor>
    <xdr:from>
      <xdr:col>19</xdr:col>
      <xdr:colOff>59606</xdr:colOff>
      <xdr:row>2</xdr:row>
      <xdr:rowOff>66054</xdr:rowOff>
    </xdr:from>
    <xdr:to>
      <xdr:col>23</xdr:col>
      <xdr:colOff>59011</xdr:colOff>
      <xdr:row>8</xdr:row>
      <xdr:rowOff>4927</xdr:rowOff>
    </xdr:to>
    <xdr:sp macro="" textlink="Sheet1!I4">
      <xdr:nvSpPr>
        <xdr:cNvPr id="12" name="Rectangle: Rounded Corners 11">
          <a:extLst>
            <a:ext uri="{FF2B5EF4-FFF2-40B4-BE49-F238E27FC236}">
              <a16:creationId xmlns:a16="http://schemas.microsoft.com/office/drawing/2014/main" id="{5BE6ED0E-6BA4-4383-9BFD-76C21BF35E4F}"/>
            </a:ext>
          </a:extLst>
        </xdr:cNvPr>
        <xdr:cNvSpPr/>
      </xdr:nvSpPr>
      <xdr:spPr>
        <a:xfrm>
          <a:off x="11600041" y="441532"/>
          <a:ext cx="2428970" cy="1065308"/>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lumMod val="95000"/>
                </a:schemeClr>
              </a:solidFill>
              <a:latin typeface="Aptos Narrow"/>
            </a:rPr>
            <a:t>Average Customer Spent</a:t>
          </a:r>
          <a:br>
            <a:rPr lang="en-US" sz="1400" b="0" i="0" u="none" strike="noStrike">
              <a:solidFill>
                <a:schemeClr val="bg1">
                  <a:lumMod val="95000"/>
                </a:schemeClr>
              </a:solidFill>
              <a:latin typeface="Aptos Narrow"/>
            </a:rPr>
          </a:br>
          <a:fld id="{325DCE1C-694D-41EA-B160-E5797854CBAF}" type="TxLink">
            <a:rPr lang="en-US" sz="1400" b="0" i="0" u="none" strike="noStrike">
              <a:solidFill>
                <a:schemeClr val="bg1">
                  <a:lumMod val="95000"/>
                </a:schemeClr>
              </a:solidFill>
              <a:latin typeface="Aptos Narrow"/>
            </a:rPr>
            <a:pPr algn="ctr"/>
            <a:t>$3,520.98</a:t>
          </a:fld>
          <a:endParaRPr lang="en-US" sz="1400">
            <a:solidFill>
              <a:schemeClr val="bg1">
                <a:lumMod val="95000"/>
              </a:schemeClr>
            </a:solidFill>
          </a:endParaRPr>
        </a:p>
      </xdr:txBody>
    </xdr:sp>
    <xdr:clientData/>
  </xdr:twoCellAnchor>
  <xdr:twoCellAnchor>
    <xdr:from>
      <xdr:col>0</xdr:col>
      <xdr:colOff>206897</xdr:colOff>
      <xdr:row>2</xdr:row>
      <xdr:rowOff>152995</xdr:rowOff>
    </xdr:from>
    <xdr:to>
      <xdr:col>6</xdr:col>
      <xdr:colOff>45492</xdr:colOff>
      <xdr:row>7</xdr:row>
      <xdr:rowOff>179155</xdr:rowOff>
    </xdr:to>
    <xdr:sp macro="" textlink="">
      <xdr:nvSpPr>
        <xdr:cNvPr id="13" name="Rectangle: Rounded Corners 12">
          <a:extLst>
            <a:ext uri="{FF2B5EF4-FFF2-40B4-BE49-F238E27FC236}">
              <a16:creationId xmlns:a16="http://schemas.microsoft.com/office/drawing/2014/main" id="{DF66F668-0DE1-42CB-B94E-040223B86265}"/>
            </a:ext>
          </a:extLst>
        </xdr:cNvPr>
        <xdr:cNvSpPr/>
      </xdr:nvSpPr>
      <xdr:spPr>
        <a:xfrm>
          <a:off x="206897" y="528473"/>
          <a:ext cx="3482943" cy="964856"/>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394791</xdr:colOff>
      <xdr:row>0</xdr:row>
      <xdr:rowOff>137935</xdr:rowOff>
    </xdr:from>
    <xdr:to>
      <xdr:col>4</xdr:col>
      <xdr:colOff>511791</xdr:colOff>
      <xdr:row>10</xdr:row>
      <xdr:rowOff>13674</xdr:rowOff>
    </xdr:to>
    <xdr:pic>
      <xdr:nvPicPr>
        <xdr:cNvPr id="15" name="Picture 14">
          <a:extLst>
            <a:ext uri="{FF2B5EF4-FFF2-40B4-BE49-F238E27FC236}">
              <a16:creationId xmlns:a16="http://schemas.microsoft.com/office/drawing/2014/main" id="{39446B06-9ED6-7E0D-7E8A-40CA4C1CB5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02182" y="137935"/>
          <a:ext cx="1939174" cy="1753130"/>
        </a:xfrm>
        <a:prstGeom prst="rect">
          <a:avLst/>
        </a:prstGeom>
      </xdr:spPr>
    </xdr:pic>
    <xdr:clientData/>
  </xdr:twoCellAnchor>
  <xdr:twoCellAnchor editAs="oneCell">
    <xdr:from>
      <xdr:col>23</xdr:col>
      <xdr:colOff>241989</xdr:colOff>
      <xdr:row>3</xdr:row>
      <xdr:rowOff>5367</xdr:rowOff>
    </xdr:from>
    <xdr:to>
      <xdr:col>26</xdr:col>
      <xdr:colOff>241988</xdr:colOff>
      <xdr:row>23</xdr:row>
      <xdr:rowOff>179133</xdr:rowOff>
    </xdr:to>
    <mc:AlternateContent xmlns:mc="http://schemas.openxmlformats.org/markup-compatibility/2006" xmlns:a14="http://schemas.microsoft.com/office/drawing/2010/main">
      <mc:Choice Requires="a14">
        <xdr:graphicFrame macro="">
          <xdr:nvGraphicFramePr>
            <xdr:cNvPr id="16" name="order_month">
              <a:extLst>
                <a:ext uri="{FF2B5EF4-FFF2-40B4-BE49-F238E27FC236}">
                  <a16:creationId xmlns:a16="http://schemas.microsoft.com/office/drawing/2014/main" id="{C631BEDD-AA97-D12D-9D0D-4DFAA835A3B6}"/>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4211989" y="568584"/>
              <a:ext cx="1822173" cy="3928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463826</xdr:colOff>
      <xdr:row>0</xdr:row>
      <xdr:rowOff>0</xdr:rowOff>
    </xdr:from>
    <xdr:to>
      <xdr:col>14</xdr:col>
      <xdr:colOff>574261</xdr:colOff>
      <xdr:row>2</xdr:row>
      <xdr:rowOff>44175</xdr:rowOff>
    </xdr:to>
    <xdr:sp macro="" textlink="">
      <xdr:nvSpPr>
        <xdr:cNvPr id="20" name="Rectangle: Rounded Corners 19">
          <a:extLst>
            <a:ext uri="{FF2B5EF4-FFF2-40B4-BE49-F238E27FC236}">
              <a16:creationId xmlns:a16="http://schemas.microsoft.com/office/drawing/2014/main" id="{94A3274C-5F01-6760-C77C-72852E137898}"/>
            </a:ext>
          </a:extLst>
        </xdr:cNvPr>
        <xdr:cNvSpPr/>
      </xdr:nvSpPr>
      <xdr:spPr>
        <a:xfrm>
          <a:off x="5930348" y="0"/>
          <a:ext cx="3147391" cy="41965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Sales</a:t>
          </a:r>
          <a:r>
            <a:rPr lang="en-US" sz="2400" baseline="0"/>
            <a:t> Analysis</a:t>
          </a:r>
          <a:endParaRPr lang="en-US" sz="2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4189811" backgroundQuery="1" createdVersion="8" refreshedVersion="8" minRefreshableVersion="3" recordCount="0" supportSubquery="1" supportAdvancedDrill="1" xr:uid="{1BEB27A5-A6A4-47CC-948C-12866A14C480}">
  <cacheSource type="external" connectionId="4"/>
  <cacheFields count="2">
    <cacheField name="[Measures].[Sum of Revenue]" caption="Sum of Revenue" numFmtId="0" hierarchy="32"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Hour_order]" caption="Hour_order" attribute="1" defaultMemberUniqueName="[orders].[Hour_order].[All]" allUniqueName="[orders].[Hour_orde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4537035" backgroundQuery="1" createdVersion="8" refreshedVersion="8" minRefreshableVersion="3" recordCount="0" supportSubquery="1" supportAdvancedDrill="1" xr:uid="{DB099FDE-4D26-4D36-9892-14AC088082E0}">
  <cacheSource type="external" connectionId="4"/>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7" level="32767"/>
    <cacheField name="[orders].[Location].[Location]" caption="Location" numFmtId="0" hierarchy="15" level="1">
      <sharedItems count="10">
        <s v="Alwar"/>
        <s v="Bareilly"/>
        <s v="Bhilai"/>
        <s v="Bulandshahr"/>
        <s v="Darbhanga"/>
        <s v="Ghaziabad"/>
        <s v="Hazaribagh"/>
        <s v="Khammam"/>
        <s v="Lucknow"/>
        <s v="Muzaffarnagar"/>
      </sharedItems>
    </cacheField>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Hour_order]" caption="Hour_order" attribute="1" defaultMemberUniqueName="[orders].[Hour_order].[All]" allUniqueName="[orders].[Hour_orde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4884258" backgroundQuery="1" createdVersion="8" refreshedVersion="8" minRefreshableVersion="3" recordCount="0" supportSubquery="1" supportAdvancedDrill="1" xr:uid="{D094C93E-1041-4411-91EC-374858435341}">
  <cacheSource type="external" connectionId="4"/>
  <cacheFields count="3">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Hour]" caption="Average of Hour" numFmtId="0" hierarchy="40"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5231481" backgroundQuery="1" createdVersion="8" refreshedVersion="8" minRefreshableVersion="3" recordCount="0" supportSubquery="1" supportAdvancedDrill="1" xr:uid="{38FE0DB7-580F-4D6B-AF8D-DCC20D809D4B}">
  <cacheSource type="external" connectionId="4"/>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2" level="32767"/>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Hour_order]" caption="Hour_order" attribute="1" defaultMemberUniqueName="[orders].[Hour_order].[All]" allUniqueName="[orders].[Hour_orde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5578704" backgroundQuery="1" createdVersion="8" refreshedVersion="8" minRefreshableVersion="3" recordCount="0" supportSubquery="1" supportAdvancedDrill="1" xr:uid="{E8554BAA-B939-4E84-9CCA-25533649A5B4}">
  <cacheSource type="external" connectionId="4"/>
  <cacheFields count="3">
    <cacheField name="[orders].[Hour_order].[Hour_order]" caption="Hour_order" numFmtId="0" hierarchy="21"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_order].&amp;[5]"/>
            <x15:cachedUniqueName index="1" name="[orders].[Hour_order].&amp;[6]"/>
            <x15:cachedUniqueName index="2" name="[orders].[Hour_order].&amp;[12]"/>
            <x15:cachedUniqueName index="3" name="[orders].[Hour_order].&amp;[15]"/>
            <x15:cachedUniqueName index="4" name="[orders].[Hour_order].&amp;[17]"/>
            <x15:cachedUniqueName index="5" name="[orders].[Hour_order].&amp;[18]"/>
            <x15:cachedUniqueName index="6" name="[orders].[Hour_order].&amp;[19]"/>
            <x15:cachedUniqueName index="7" name="[orders].[Hour_order].&amp;[20]"/>
            <x15:cachedUniqueName index="8" name="[orders].[Hour_order].&amp;[21]"/>
            <x15:cachedUniqueName index="9" name="[orders].[Hour_order].&amp;[23]"/>
          </x15:cachedUniqueNames>
        </ext>
      </extLst>
    </cacheField>
    <cacheField name="[Measures].[Sum of Revenue]" caption="Sum of Revenue" numFmtId="0" hierarchy="32"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2" memberValueDatatype="2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5578704" backgroundQuery="1" createdVersion="8" refreshedVersion="8" minRefreshableVersion="3" recordCount="0" supportSubquery="1" supportAdvancedDrill="1" xr:uid="{054793AC-E895-42E3-9EC9-D5DEB19D7515}">
  <cacheSource type="external" connectionId="4"/>
  <cacheFields count="2">
    <cacheField name="[Measures].[Count of Order_ID]" caption="Count of Order_ID" numFmtId="0" hierarchy="37"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5810182" backgroundQuery="1" createdVersion="8" refreshedVersion="8" minRefreshableVersion="3" recordCount="0" supportSubquery="1" supportAdvancedDrill="1" xr:uid="{99A7F1CB-DCF3-4EA3-B7C2-A0889EE66AAD}">
  <cacheSource type="external" connectionId="4"/>
  <cacheFields count="2">
    <cacheField name="[Measures].[Average of Revenue]" caption="Average of Revenue" numFmtId="0" hierarchy="35"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6157405" backgroundQuery="1" createdVersion="8" refreshedVersion="8" minRefreshableVersion="3" recordCount="0" supportSubquery="1" supportAdvancedDrill="1" xr:uid="{F6EA85F3-2580-440E-82C6-34636E7D46B8}">
  <cacheSource type="external" connectionId="4"/>
  <cacheFields count="4">
    <cacheField name="[products].[Product_Name].[Product_Name]" caption="Product_Name" numFmtId="0" hierarchy="24" level="1">
      <sharedItems count="5">
        <s v="Deserunt Box"/>
        <s v="Dolores Gift"/>
        <s v="Harum Pack"/>
        <s v="Magnam Set"/>
        <s v="Quia Gift"/>
      </sharedItems>
    </cacheField>
    <cacheField name="[Measures].[Sum of Revenue]" caption="Sum of Revenue" numFmtId="0" hierarchy="32" level="32767"/>
    <cacheField name="[products].[Category].[Category]" caption="Category" numFmtId="0" hierarchy="25"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Hour_order]" caption="Hour_order" attribute="1" defaultMemberUniqueName="[orders].[Hour_order].[All]" allUniqueName="[orders].[Hour_orde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6273151" backgroundQuery="1" createdVersion="8" refreshedVersion="8" minRefreshableVersion="3" recordCount="0" supportSubquery="1" supportAdvancedDrill="1" xr:uid="{79140CA1-F814-4ED7-BC3E-AF852790DD82}">
  <cacheSource type="external" connectionId="4"/>
  <cacheFields count="2">
    <cacheField name="[Measures].[Average of diff_orderdate_deliverydate]" caption="Average of diff_orderdate_deliverydate" numFmtId="0" hierarchy="34"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6736113" backgroundQuery="1" createdVersion="8" refreshedVersion="8" minRefreshableVersion="3" recordCount="0" supportSubquery="1" supportAdvancedDrill="1" xr:uid="{4D1D6F2D-B407-4997-AA2C-81D04374943B}">
  <cacheSource type="external" connectionId="4"/>
  <cacheFields count="3">
    <cacheField name="[orders].[order_month].[order_month]" caption="order_month" numFmtId="0" hierarchy="19" level="1">
      <sharedItems count="12">
        <s v="April"/>
        <s v="August"/>
        <s v="December"/>
        <s v="February"/>
        <s v="January"/>
        <s v="July"/>
        <s v="June"/>
        <s v="March"/>
        <s v="May"/>
        <s v="November"/>
        <s v="October"/>
        <s v="September"/>
      </sharedItems>
    </cacheField>
    <cacheField name="[Measures].[Sum of Revenue]" caption="Sum of Revenue" numFmtId="0" hierarchy="32"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2" memberValueDatatype="20" unbalanced="0"/>
    <cacheHierarchy uniqueName="[orders].[Hour_order]" caption="Hour_order" attribute="1" defaultMemberUniqueName="[orders].[Hour_order].[All]" allUniqueName="[orders].[Hour_orde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85377083336" backgroundQuery="1" createdVersion="8" refreshedVersion="8" minRefreshableVersion="3" recordCount="0" supportSubquery="1" supportAdvancedDrill="1" xr:uid="{FA5139DB-423A-4200-918B-EF84F0E69F34}">
  <cacheSource type="external" connectionId="4"/>
  <cacheFields count="3">
    <cacheField name="[products].[Product_Name].[Product_Name]" caption="Product_Name" numFmtId="0" hierarchy="24" level="1">
      <sharedItems count="5">
        <s v="Deserunt Box"/>
        <s v="Dolores Gift"/>
        <s v="Harum Pack"/>
        <s v="Magnam Set"/>
        <s v="Quia Gift"/>
      </sharedItems>
    </cacheField>
    <cacheField name="[Measures].[Sum of Revenue]" caption="Sum of Revenue" numFmtId="0" hierarchy="32"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384993634259" backgroundQuery="1" createdVersion="3" refreshedVersion="8" minRefreshableVersion="3" recordCount="0" supportSubquery="1" supportAdvancedDrill="1" xr:uid="{64462007-076D-4364-9E5B-E306C5AAD2EE}">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90923561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ectronica Care" refreshedDate="46061.40880798611" backgroundQuery="1" createdVersion="3" refreshedVersion="8" minRefreshableVersion="3" recordCount="0" supportSubquery="1" supportAdvancedDrill="1" xr:uid="{7E415792-333F-424B-A8FF-82271459A715}">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0"/>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2411871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F0F91-6AA1-47E7-A42B-C0F79A81C087}" name="PivotTable11" cacheId="2" applyNumberFormats="0" applyBorderFormats="0" applyFontFormats="0" applyPatternFormats="0" applyAlignmentFormats="0" applyWidthHeightFormats="1" dataCaption="Values" tag="c823a925-32ad-4229-8d29-21e6773901a4" updatedVersion="8" minRefreshableVersion="3" useAutoFormatting="1" subtotalHiddenItems="1" itemPrintTitles="1" createdVersion="8" indent="0" outline="1" outlineData="1" multipleFieldFilters="0">
  <location ref="I7:J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Hour" fld="1"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Hour"/>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81BD90-0E80-4290-A354-44870ED8DF86}" name="PivotTable2" cacheId="8" applyNumberFormats="0" applyBorderFormats="0" applyFontFormats="0" applyPatternFormats="0" applyAlignmentFormats="0" applyWidthHeightFormats="1" dataCaption="Values" tag="ea7aa7c2-07ba-4f10-ad25-87ea7f366fea"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date_deliverydate"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date_deliveryda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7C486E-5AFE-4BE8-AF7B-D9F6ACCD0387}" name="PivotTable10" cacheId="1" applyNumberFormats="0" applyBorderFormats="0" applyFontFormats="0" applyPatternFormats="0" applyAlignmentFormats="0" applyWidthHeightFormats="1" dataCaption="Values" tag="79570e3f-693e-4420-92d8-ccd75452b62d" updatedVersion="8" minRefreshableVersion="3" useAutoFormatting="1" subtotalHiddenItems="1" itemPrintTitles="1" createdVersion="8" indent="0" outline="1" outlineData="1" multipleFieldFilters="0" chartFormat="15">
  <location ref="L5:M1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1" iMeasureHier="37">
      <autoFilter ref="A1">
        <filterColumn colId="0">
          <top10 val="10" filterVal="10"/>
        </filterColumn>
      </autoFilter>
    </filter>
    <filter fld="2" type="count" id="4" iMeasureHier="3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9998A-3D3E-4255-BD58-C38F416EC174}" name="PivotTable1" cacheId="0" applyNumberFormats="0" applyBorderFormats="0" applyFontFormats="0" applyPatternFormats="0" applyAlignmentFormats="0" applyWidthHeightFormats="1" dataCaption="Values" tag="05cfa309-a489-47d7-a674-a02e100dafec"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35A73F-958F-43C1-9478-E136749B319F}" name="PivotTable9" cacheId="7" applyNumberFormats="0" applyBorderFormats="0" applyFontFormats="0" applyPatternFormats="0" applyAlignmentFormats="0" applyWidthHeightFormats="1" dataCaption="Values" tag="b0fa8b5a-6846-4b01-9751-808eeb64609f" updatedVersion="8" minRefreshableVersion="3" useAutoFormatting="1" subtotalHiddenItems="1" itemPrintTitles="1" createdVersion="8" indent="0" outline="1" outlineData="1" multipleFieldFilters="0" chartFormat="23">
  <location ref="C22:D30"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CDE01A-FD1B-478B-886C-0E322C996C26}" name="PivotTable14" cacheId="5" applyNumberFormats="0" applyBorderFormats="0" applyFontFormats="0" applyPatternFormats="0" applyAlignmentFormats="0" applyWidthHeightFormats="1" dataCaption="Values" tag="5791a4ee-b438-4c40-a580-b02be060a537"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5E625E-8A69-4C52-AE1E-116F226DFFFB}" name="PivotTable13" cacheId="4" applyNumberFormats="0" applyBorderFormats="0" applyFontFormats="0" applyPatternFormats="0" applyAlignmentFormats="0" applyWidthHeightFormats="1" dataCaption="Values" tag="a8114495-608f-4d36-a065-aadb13f642ee" updatedVersion="8" minRefreshableVersion="3" useAutoFormatting="1" subtotalHiddenItems="1" itemPrintTitles="1" createdVersion="8" indent="0" outline="1" outlineData="1" multipleFieldFilters="0" chartFormat="11">
  <location ref="F18:G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61EC52-012E-4F2D-A21B-CA681A078C53}" name="PivotTable5" cacheId="6" applyNumberFormats="0" applyBorderFormats="0" applyFontFormats="0" applyPatternFormats="0" applyAlignmentFormats="0" applyWidthHeightFormats="1" dataCaption="Values" tag="03d075f0-948b-464c-9e16-bfed8b5e65c9"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841435-CB37-4340-A968-11F236BBCA3C}" name="PivotTable12" cacheId="3" applyNumberFormats="0" applyBorderFormats="0" applyFontFormats="0" applyPatternFormats="0" applyAlignmentFormats="0" applyWidthHeightFormats="1" dataCaption="Values" tag="2bf9cfe7-7599-41be-aaac-c6df9f0d9aa6" updatedVersion="8" minRefreshableVersion="3" useAutoFormatting="1" subtotalHiddenItems="1" itemPrintTitles="1" createdVersion="8" indent="0" outline="1" outlineData="1" multipleFieldFilters="0" chartFormat="23">
  <location ref="O53:P6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1061F0-3927-479C-8AC0-17B171BF4798}" name="PivotTable4" cacheId="10" applyNumberFormats="0" applyBorderFormats="0" applyFontFormats="0" applyPatternFormats="0" applyAlignmentFormats="0" applyWidthHeightFormats="1" dataCaption="Values" tag="44aee547-1e1e-4684-b5b2-bd70f853590a" updatedVersion="8" minRefreshableVersion="3" useAutoFormatting="1" subtotalHiddenItems="1" itemPrintTitles="1" createdVersion="8" indent="0" outline="1" outlineData="1" multipleFieldFilters="0" chartFormat="11">
  <location ref="F7:G1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9E8DD1-D0EA-4720-9E95-4B4CE1D613A7}" name="PivotTable3" cacheId="9" applyNumberFormats="0" applyBorderFormats="0" applyFontFormats="0" applyPatternFormats="0" applyAlignmentFormats="0" applyWidthHeightFormats="1" dataCaption="Values" tag="002ffcc7-ce6e-431a-86f5-4b36c6907134" updatedVersion="8" minRefreshableVersion="3" useAutoFormatting="1" subtotalHiddenItems="1" itemPrintTitles="1" createdVersion="8" indent="0" outline="1" outlineData="1" multipleFieldFilters="0" chartFormat="24">
  <location ref="C6:D1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5E2FDE2-BC57-4E21-8569-1D2398CD805C}" sourceName="[orders].[Occasion]">
  <pivotTables>
    <pivotTable tabId="1" name="PivotTable1"/>
    <pivotTable tabId="1" name="PivotTable10"/>
    <pivotTable tabId="1" name="PivotTable11"/>
    <pivotTable tabId="1" name="PivotTable12"/>
    <pivotTable tabId="1" name="PivotTable13"/>
    <pivotTable tabId="1" name="PivotTable14"/>
    <pivotTable tabId="1" name="PivotTable5"/>
    <pivotTable tabId="1" name="PivotTable9"/>
    <pivotTable tabId="1" name="PivotTable2"/>
    <pivotTable tabId="1" name="PivotTable3"/>
    <pivotTable tabId="1" name="PivotTable4"/>
  </pivotTables>
  <data>
    <olap pivotCacheId="90923561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EE4F065C-64CF-4C59-854E-8691861E30EA}" sourceName="[orders].[order_month]">
  <pivotTables>
    <pivotTable tabId="1" name="PivotTable3"/>
    <pivotTable tabId="1" name="PivotTable1"/>
    <pivotTable tabId="1" name="PivotTable10"/>
    <pivotTable tabId="1" name="PivotTable11"/>
    <pivotTable tabId="1" name="PivotTable12"/>
    <pivotTable tabId="1" name="PivotTable13"/>
    <pivotTable tabId="1" name="PivotTable14"/>
    <pivotTable tabId="1" name="PivotTable2"/>
    <pivotTable tabId="1" name="PivotTable4"/>
    <pivotTable tabId="1" name="PivotTable5"/>
    <pivotTable tabId="1" name="PivotTable9"/>
  </pivotTables>
  <data>
    <olap pivotCacheId="1241187153">
      <levels count="2">
        <level uniqueName="[orders].[order_month].[(All)]" sourceCaption="(All)" count="0"/>
        <level uniqueName="[orders].[order_month].[order_month]" sourceCaption="order_month" count="12" sortOrder="ascending">
          <ranges>
            <range startItem="0">
              <i n="[orders].[order_month].&amp;[April]" c="April"/>
              <i n="[orders].[order_month].&amp;[August]" c="August"/>
              <i n="[orders].[order_month].&amp;[December]" c="December"/>
              <i n="[orders].[order_month].&amp;[February]" c="February"/>
              <i n="[orders].[order_month].&amp;[January]" c="January"/>
              <i n="[orders].[order_month].&amp;[July]" c="July"/>
              <i n="[orders].[order_month].&amp;[June]" c="June"/>
              <i n="[orders].[order_month].&amp;[March]" c="March"/>
              <i n="[orders].[order_month].&amp;[May]" c="May"/>
              <i n="[orders].[order_month].&amp;[November]" c="November"/>
              <i n="[orders].[order_month].&amp;[October]" c="October"/>
              <i n="[orders].[order_month].&amp;[September]" c="September"/>
            </range>
          </ranges>
        </level>
      </levels>
      <selections count="1">
        <selection n="[orders].[order_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F957A00-268B-4BC6-9829-3E048E310642}" cache="Slicer_Occasion" caption="Occasion" level="1" style="SlicerStyleDark3" rowHeight="247650"/>
  <slicer name="order_month" xr10:uid="{EA13C643-6E20-42DA-96C3-0CA8665053BC}" cache="Slicer_order_month" caption="order_month" level="1"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32789-F010-4457-8AC3-39266F76DD51}">
  <dimension ref="C3:P61"/>
  <sheetViews>
    <sheetView topLeftCell="B1" zoomScale="97" workbookViewId="0">
      <selection activeCell="G18" sqref="G18"/>
    </sheetView>
  </sheetViews>
  <sheetFormatPr defaultRowHeight="14.4" x14ac:dyDescent="0.3"/>
  <cols>
    <col min="3" max="4" width="14.5546875" bestFit="1" customWidth="1"/>
    <col min="5" max="5" width="16" bestFit="1" customWidth="1"/>
    <col min="7" max="7" width="34.33203125" bestFit="1" customWidth="1"/>
    <col min="8" max="8" width="14.5546875" bestFit="1" customWidth="1"/>
    <col min="9" max="9" width="17.44140625" bestFit="1" customWidth="1"/>
    <col min="10" max="10" width="14.33203125" bestFit="1" customWidth="1"/>
    <col min="11" max="11" width="12.77734375" bestFit="1" customWidth="1"/>
    <col min="12" max="12" width="14.5546875" bestFit="1" customWidth="1"/>
    <col min="14" max="14" width="17.44140625" bestFit="1" customWidth="1"/>
    <col min="15" max="15" width="14.88671875" bestFit="1" customWidth="1"/>
    <col min="16" max="16" width="14.5546875" bestFit="1" customWidth="1"/>
    <col min="19" max="19" width="14.109375" bestFit="1" customWidth="1"/>
    <col min="20" max="20" width="15.5546875" bestFit="1" customWidth="1"/>
    <col min="21" max="25" width="11.109375" bestFit="1" customWidth="1"/>
    <col min="26" max="26" width="13.21875" bestFit="1" customWidth="1"/>
    <col min="27" max="27" width="10.109375" bestFit="1" customWidth="1"/>
    <col min="28" max="28" width="9.109375" bestFit="1" customWidth="1"/>
    <col min="29" max="30" width="11.77734375" bestFit="1" customWidth="1"/>
    <col min="31" max="31" width="15.6640625" bestFit="1" customWidth="1"/>
    <col min="32" max="32" width="11.109375" bestFit="1" customWidth="1"/>
    <col min="33" max="33" width="11.44140625" bestFit="1" customWidth="1"/>
    <col min="34" max="34" width="11.21875" bestFit="1" customWidth="1"/>
    <col min="35" max="37" width="10.109375" bestFit="1" customWidth="1"/>
    <col min="38" max="38" width="10.77734375" bestFit="1" customWidth="1"/>
    <col min="39" max="40" width="10.109375" bestFit="1" customWidth="1"/>
    <col min="41" max="41" width="18.33203125" bestFit="1" customWidth="1"/>
    <col min="42" max="42" width="11.77734375" bestFit="1" customWidth="1"/>
    <col min="43" max="44" width="10.109375" bestFit="1" customWidth="1"/>
    <col min="45" max="45" width="11.109375" bestFit="1" customWidth="1"/>
    <col min="46" max="51" width="10.109375" bestFit="1" customWidth="1"/>
    <col min="52" max="52" width="11.109375" bestFit="1" customWidth="1"/>
    <col min="53" max="53" width="10.88671875" bestFit="1" customWidth="1"/>
    <col min="54" max="54" width="11" bestFit="1" customWidth="1"/>
    <col min="55" max="55" width="10.6640625" bestFit="1" customWidth="1"/>
    <col min="56" max="56" width="10.44140625" bestFit="1" customWidth="1"/>
    <col min="57" max="61" width="10.109375" bestFit="1" customWidth="1"/>
    <col min="62" max="62" width="11.5546875" bestFit="1" customWidth="1"/>
    <col min="63" max="63" width="13.109375" bestFit="1" customWidth="1"/>
    <col min="64" max="64" width="11.44140625" bestFit="1" customWidth="1"/>
    <col min="65" max="65" width="11" bestFit="1" customWidth="1"/>
    <col min="66" max="66" width="10.77734375" bestFit="1" customWidth="1"/>
    <col min="67" max="67" width="11.77734375" bestFit="1" customWidth="1"/>
    <col min="68" max="68" width="13.5546875" bestFit="1" customWidth="1"/>
    <col min="69" max="69" width="9.109375" bestFit="1" customWidth="1"/>
    <col min="70" max="70" width="10.109375" bestFit="1" customWidth="1"/>
    <col min="71" max="71" width="9.109375" bestFit="1" customWidth="1"/>
    <col min="72" max="72" width="10.109375" bestFit="1" customWidth="1"/>
    <col min="73" max="73" width="11.109375" bestFit="1" customWidth="1"/>
    <col min="74" max="74" width="14.109375" bestFit="1" customWidth="1"/>
    <col min="75" max="76" width="10.109375" bestFit="1" customWidth="1"/>
    <col min="77" max="77" width="15.6640625" bestFit="1" customWidth="1"/>
    <col min="78" max="78" width="13.21875" bestFit="1" customWidth="1"/>
    <col min="79" max="79" width="15.44140625" bestFit="1" customWidth="1"/>
    <col min="80" max="83" width="10.109375" bestFit="1" customWidth="1"/>
    <col min="84" max="84" width="11.6640625" bestFit="1" customWidth="1"/>
    <col min="85" max="85" width="13.6640625" bestFit="1" customWidth="1"/>
    <col min="86" max="86" width="12.21875" bestFit="1" customWidth="1"/>
    <col min="87" max="87" width="14.21875" bestFit="1" customWidth="1"/>
    <col min="88" max="88" width="12.6640625" bestFit="1" customWidth="1"/>
    <col min="89" max="344" width="5" bestFit="1" customWidth="1"/>
    <col min="345" max="345" width="10.5546875" bestFit="1" customWidth="1"/>
  </cols>
  <sheetData>
    <row r="3" spans="3:13" x14ac:dyDescent="0.3">
      <c r="C3" t="s">
        <v>0</v>
      </c>
      <c r="E3" t="s">
        <v>31</v>
      </c>
      <c r="G3" t="s">
        <v>1</v>
      </c>
      <c r="I3" t="s">
        <v>21</v>
      </c>
    </row>
    <row r="4" spans="3:13" x14ac:dyDescent="0.3">
      <c r="C4" s="1">
        <v>3520984</v>
      </c>
      <c r="E4">
        <v>1000</v>
      </c>
      <c r="G4">
        <v>5.53</v>
      </c>
      <c r="I4" s="1">
        <v>3520.9839999999999</v>
      </c>
    </row>
    <row r="5" spans="3:13" x14ac:dyDescent="0.3">
      <c r="L5" s="2" t="s">
        <v>2</v>
      </c>
      <c r="M5" t="s">
        <v>31</v>
      </c>
    </row>
    <row r="6" spans="3:13" x14ac:dyDescent="0.3">
      <c r="C6" s="2" t="s">
        <v>2</v>
      </c>
      <c r="D6" t="s">
        <v>0</v>
      </c>
      <c r="L6" s="3" t="s">
        <v>36</v>
      </c>
      <c r="M6">
        <v>7</v>
      </c>
    </row>
    <row r="7" spans="3:13" x14ac:dyDescent="0.3">
      <c r="C7" s="3" t="s">
        <v>7</v>
      </c>
      <c r="D7" s="1">
        <v>95468</v>
      </c>
      <c r="F7" s="2" t="s">
        <v>2</v>
      </c>
      <c r="G7" t="s">
        <v>0</v>
      </c>
      <c r="I7" s="2" t="s">
        <v>2</v>
      </c>
      <c r="J7" t="s">
        <v>40</v>
      </c>
      <c r="L7" s="3" t="s">
        <v>34</v>
      </c>
      <c r="M7">
        <v>9</v>
      </c>
    </row>
    <row r="8" spans="3:13" x14ac:dyDescent="0.3">
      <c r="C8" s="3" t="s">
        <v>6</v>
      </c>
      <c r="D8" s="1">
        <v>704509</v>
      </c>
      <c r="F8" s="3" t="s">
        <v>16</v>
      </c>
      <c r="G8" s="1">
        <v>97665</v>
      </c>
      <c r="I8" s="3">
        <v>1</v>
      </c>
      <c r="J8">
        <v>11.26530612244898</v>
      </c>
      <c r="L8" s="3" t="s">
        <v>29</v>
      </c>
      <c r="M8">
        <v>8</v>
      </c>
    </row>
    <row r="9" spans="3:13" x14ac:dyDescent="0.3">
      <c r="C9" s="3" t="s">
        <v>10</v>
      </c>
      <c r="D9" s="1">
        <v>511823</v>
      </c>
      <c r="F9" s="3" t="s">
        <v>17</v>
      </c>
      <c r="G9" s="1">
        <v>106624</v>
      </c>
      <c r="I9" s="3">
        <v>2</v>
      </c>
      <c r="J9">
        <v>11.6875</v>
      </c>
      <c r="L9" s="3" t="s">
        <v>30</v>
      </c>
      <c r="M9">
        <v>7</v>
      </c>
    </row>
    <row r="10" spans="3:13" x14ac:dyDescent="0.3">
      <c r="C10" s="3" t="s">
        <v>3</v>
      </c>
      <c r="D10" s="1">
        <v>140393</v>
      </c>
      <c r="F10" s="3" t="s">
        <v>18</v>
      </c>
      <c r="G10" s="1">
        <v>101556</v>
      </c>
      <c r="I10" s="3">
        <v>3</v>
      </c>
      <c r="J10">
        <v>10.693069306930694</v>
      </c>
      <c r="L10" s="3" t="s">
        <v>32</v>
      </c>
      <c r="M10">
        <v>7</v>
      </c>
    </row>
    <row r="11" spans="3:13" x14ac:dyDescent="0.3">
      <c r="C11" s="3" t="s">
        <v>11</v>
      </c>
      <c r="D11" s="1">
        <v>150346</v>
      </c>
      <c r="F11" s="3" t="s">
        <v>19</v>
      </c>
      <c r="G11" s="1">
        <v>121905</v>
      </c>
      <c r="I11" s="3">
        <v>4</v>
      </c>
      <c r="J11">
        <v>11.638743455497382</v>
      </c>
      <c r="L11" s="3" t="s">
        <v>37</v>
      </c>
      <c r="M11">
        <v>9</v>
      </c>
    </row>
    <row r="12" spans="3:13" x14ac:dyDescent="0.3">
      <c r="C12" s="3" t="s">
        <v>9</v>
      </c>
      <c r="D12" s="1">
        <v>157913</v>
      </c>
      <c r="F12" s="3" t="s">
        <v>20</v>
      </c>
      <c r="G12" s="1">
        <v>114476</v>
      </c>
      <c r="I12" s="3">
        <v>5</v>
      </c>
      <c r="J12">
        <v>11.123287671232877</v>
      </c>
      <c r="L12" s="3" t="s">
        <v>39</v>
      </c>
      <c r="M12">
        <v>7</v>
      </c>
    </row>
    <row r="13" spans="3:13" x14ac:dyDescent="0.3">
      <c r="C13" s="3" t="s">
        <v>8</v>
      </c>
      <c r="D13" s="1">
        <v>135826</v>
      </c>
      <c r="F13" s="3" t="s">
        <v>15</v>
      </c>
      <c r="G13" s="1">
        <v>542226</v>
      </c>
      <c r="I13" s="3" t="s">
        <v>15</v>
      </c>
      <c r="J13">
        <v>11.271000000000001</v>
      </c>
      <c r="L13" s="3" t="s">
        <v>33</v>
      </c>
      <c r="M13">
        <v>7</v>
      </c>
    </row>
    <row r="14" spans="3:13" x14ac:dyDescent="0.3">
      <c r="C14" s="3" t="s">
        <v>4</v>
      </c>
      <c r="D14" s="1">
        <v>737389</v>
      </c>
      <c r="L14" s="3" t="s">
        <v>35</v>
      </c>
      <c r="M14">
        <v>7</v>
      </c>
    </row>
    <row r="15" spans="3:13" x14ac:dyDescent="0.3">
      <c r="C15" s="3" t="s">
        <v>14</v>
      </c>
      <c r="D15" s="1">
        <v>136938</v>
      </c>
      <c r="L15" s="3" t="s">
        <v>38</v>
      </c>
      <c r="M15">
        <v>7</v>
      </c>
    </row>
    <row r="16" spans="3:13" x14ac:dyDescent="0.3">
      <c r="C16" s="3" t="s">
        <v>13</v>
      </c>
      <c r="D16" s="1">
        <v>151619</v>
      </c>
      <c r="L16" s="3" t="s">
        <v>15</v>
      </c>
      <c r="M16">
        <v>75</v>
      </c>
    </row>
    <row r="17" spans="3:7" x14ac:dyDescent="0.3">
      <c r="C17" s="3" t="s">
        <v>12</v>
      </c>
      <c r="D17" s="1">
        <v>449169</v>
      </c>
    </row>
    <row r="18" spans="3:7" x14ac:dyDescent="0.3">
      <c r="C18" s="3" t="s">
        <v>5</v>
      </c>
      <c r="D18" s="1">
        <v>149591</v>
      </c>
      <c r="F18" s="2" t="s">
        <v>2</v>
      </c>
      <c r="G18" t="s">
        <v>0</v>
      </c>
    </row>
    <row r="19" spans="3:7" x14ac:dyDescent="0.3">
      <c r="C19" s="3" t="s">
        <v>15</v>
      </c>
      <c r="D19" s="1">
        <v>3520984</v>
      </c>
      <c r="F19" s="3">
        <v>5</v>
      </c>
      <c r="G19" s="1">
        <v>156198</v>
      </c>
    </row>
    <row r="20" spans="3:7" x14ac:dyDescent="0.3">
      <c r="F20" s="3">
        <v>6</v>
      </c>
      <c r="G20" s="1">
        <v>177211</v>
      </c>
    </row>
    <row r="21" spans="3:7" x14ac:dyDescent="0.3">
      <c r="F21" s="3">
        <v>12</v>
      </c>
      <c r="G21" s="1">
        <v>162394</v>
      </c>
    </row>
    <row r="22" spans="3:7" x14ac:dyDescent="0.3">
      <c r="C22" s="2" t="s">
        <v>2</v>
      </c>
      <c r="D22" t="s">
        <v>0</v>
      </c>
      <c r="F22" s="3">
        <v>15</v>
      </c>
      <c r="G22" s="1">
        <v>163586</v>
      </c>
    </row>
    <row r="23" spans="3:7" x14ac:dyDescent="0.3">
      <c r="C23" s="3" t="s">
        <v>25</v>
      </c>
      <c r="D23" s="1">
        <v>329862</v>
      </c>
      <c r="F23" s="3">
        <v>17</v>
      </c>
      <c r="G23" s="1">
        <v>155373</v>
      </c>
    </row>
    <row r="24" spans="3:7" x14ac:dyDescent="0.3">
      <c r="C24" s="3" t="s">
        <v>22</v>
      </c>
      <c r="D24" s="1">
        <v>1005645</v>
      </c>
      <c r="F24" s="3">
        <v>18</v>
      </c>
      <c r="G24" s="1">
        <v>173118</v>
      </c>
    </row>
    <row r="25" spans="3:7" x14ac:dyDescent="0.3">
      <c r="C25" s="3" t="s">
        <v>26</v>
      </c>
      <c r="D25" s="1">
        <v>201151</v>
      </c>
      <c r="F25" s="3">
        <v>19</v>
      </c>
      <c r="G25" s="1">
        <v>185771</v>
      </c>
    </row>
    <row r="26" spans="3:7" x14ac:dyDescent="0.3">
      <c r="C26" s="3" t="s">
        <v>27</v>
      </c>
      <c r="D26" s="1">
        <v>212281</v>
      </c>
      <c r="F26" s="3">
        <v>20</v>
      </c>
      <c r="G26" s="1">
        <v>186426</v>
      </c>
    </row>
    <row r="27" spans="3:7" x14ac:dyDescent="0.3">
      <c r="C27" s="3" t="s">
        <v>24</v>
      </c>
      <c r="D27" s="1">
        <v>297372</v>
      </c>
      <c r="F27" s="3">
        <v>21</v>
      </c>
      <c r="G27" s="1">
        <v>155466</v>
      </c>
    </row>
    <row r="28" spans="3:7" x14ac:dyDescent="0.3">
      <c r="C28" s="3" t="s">
        <v>23</v>
      </c>
      <c r="D28" s="1">
        <v>740831</v>
      </c>
      <c r="F28" s="3">
        <v>23</v>
      </c>
      <c r="G28" s="1">
        <v>168511</v>
      </c>
    </row>
    <row r="29" spans="3:7" x14ac:dyDescent="0.3">
      <c r="C29" s="3" t="s">
        <v>28</v>
      </c>
      <c r="D29" s="1">
        <v>733842</v>
      </c>
      <c r="F29" s="3" t="s">
        <v>15</v>
      </c>
      <c r="G29" s="1">
        <v>1684054</v>
      </c>
    </row>
    <row r="30" spans="3:7" x14ac:dyDescent="0.3">
      <c r="C30" s="3" t="s">
        <v>15</v>
      </c>
      <c r="D30" s="1">
        <v>3520984</v>
      </c>
    </row>
    <row r="53" spans="15:16" x14ac:dyDescent="0.3">
      <c r="O53" s="2" t="s">
        <v>2</v>
      </c>
      <c r="P53" t="s">
        <v>0</v>
      </c>
    </row>
    <row r="54" spans="15:16" x14ac:dyDescent="0.3">
      <c r="O54" s="3" t="s">
        <v>41</v>
      </c>
      <c r="P54" s="1">
        <v>586176</v>
      </c>
    </row>
    <row r="55" spans="15:16" x14ac:dyDescent="0.3">
      <c r="O55" s="3" t="s">
        <v>42</v>
      </c>
      <c r="P55" s="1">
        <v>674634</v>
      </c>
    </row>
    <row r="56" spans="15:16" x14ac:dyDescent="0.3">
      <c r="O56" s="3" t="s">
        <v>43</v>
      </c>
      <c r="P56" s="1">
        <v>408194</v>
      </c>
    </row>
    <row r="57" spans="15:16" x14ac:dyDescent="0.3">
      <c r="O57" s="3" t="s">
        <v>44</v>
      </c>
      <c r="P57" s="1">
        <v>313783</v>
      </c>
    </row>
    <row r="58" spans="15:16" x14ac:dyDescent="0.3">
      <c r="O58" s="3" t="s">
        <v>45</v>
      </c>
      <c r="P58" s="1">
        <v>574682</v>
      </c>
    </row>
    <row r="59" spans="15:16" x14ac:dyDescent="0.3">
      <c r="O59" s="3" t="s">
        <v>24</v>
      </c>
      <c r="P59" s="1">
        <v>631585</v>
      </c>
    </row>
    <row r="60" spans="15:16" x14ac:dyDescent="0.3">
      <c r="O60" s="3" t="s">
        <v>46</v>
      </c>
      <c r="P60" s="1">
        <v>331930</v>
      </c>
    </row>
    <row r="61" spans="15:16" x14ac:dyDescent="0.3">
      <c r="O61" s="3" t="s">
        <v>15</v>
      </c>
      <c r="P61" s="1">
        <v>3520984</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9F0ED592-72EE-4E58-A50E-337D1CA7FA33}">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Sheet1!C6:C6</xm:f>
              <xm:sqref>J20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9436F-6C27-4DA4-AECD-509FE7D39580}">
  <dimension ref="A1"/>
  <sheetViews>
    <sheetView showGridLines="0" showRowColHeaders="0" tabSelected="1" zoomScale="68" zoomScaleNormal="68" workbookViewId="0">
      <selection activeCell="AC12" sqref="AC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17763DD-1703-4384-BC36-7FA0153E8970}">
  <ds:schemaRefs/>
</ds:datastoreItem>
</file>

<file path=customXml/itemProps2.xml><?xml version="1.0" encoding="utf-8"?>
<ds:datastoreItem xmlns:ds="http://schemas.openxmlformats.org/officeDocument/2006/customXml" ds:itemID="{70C69973-454C-4929-9477-3C2A4D48DD6D}">
  <ds:schemaRefs/>
</ds:datastoreItem>
</file>

<file path=customXml/itemProps3.xml><?xml version="1.0" encoding="utf-8"?>
<ds:datastoreItem xmlns:ds="http://schemas.openxmlformats.org/officeDocument/2006/customXml" ds:itemID="{CA40AED3-2F94-4085-9705-7B55287F0596}">
  <ds:schemaRefs/>
</ds:datastoreItem>
</file>

<file path=customXml/itemProps4.xml><?xml version="1.0" encoding="utf-8"?>
<ds:datastoreItem xmlns:ds="http://schemas.openxmlformats.org/officeDocument/2006/customXml" ds:itemID="{656B0E60-41F5-498B-8F7D-65C25D66391E}">
  <ds:schemaRefs/>
</ds:datastoreItem>
</file>

<file path=customXml/itemProps5.xml><?xml version="1.0" encoding="utf-8"?>
<ds:datastoreItem xmlns:ds="http://schemas.openxmlformats.org/officeDocument/2006/customXml" ds:itemID="{FBC9F6FC-9B04-4A86-BD3A-9CF1C0E741F9}">
  <ds:schemaRefs/>
</ds:datastoreItem>
</file>

<file path=customXml/itemProps6.xml><?xml version="1.0" encoding="utf-8"?>
<ds:datastoreItem xmlns:ds="http://schemas.openxmlformats.org/officeDocument/2006/customXml" ds:itemID="{52FB8405-BF1D-4B6C-ACB1-B468453F1DBA}">
  <ds:schemaRefs/>
</ds:datastoreItem>
</file>

<file path=customXml/itemProps7.xml><?xml version="1.0" encoding="utf-8"?>
<ds:datastoreItem xmlns:ds="http://schemas.openxmlformats.org/officeDocument/2006/customXml" ds:itemID="{E86370B8-3277-4E8F-A90D-4E7DBE0909A6}">
  <ds:schemaRefs/>
</ds:datastoreItem>
</file>

<file path=customXml/itemProps8.xml><?xml version="1.0" encoding="utf-8"?>
<ds:datastoreItem xmlns:ds="http://schemas.openxmlformats.org/officeDocument/2006/customXml" ds:itemID="{0D83F9E6-2527-41D6-B8A4-A56526D4A47E}">
  <ds:schemaRefs/>
</ds:datastoreItem>
</file>

<file path=customXml/itemProps9.xml><?xml version="1.0" encoding="utf-8"?>
<ds:datastoreItem xmlns:ds="http://schemas.openxmlformats.org/officeDocument/2006/customXml" ds:itemID="{B15EA8A1-27DB-41AD-8802-82DA211D67BB}">
  <ds:schemaRefs>
    <ds:schemaRef ds:uri="http://schemas.microsoft.com/DataMashup"/>
  </ds:schemaRefs>
</ds:datastoreItem>
</file>

<file path=customXml/itemProps10.xml><?xml version="1.0" encoding="utf-8"?>
<ds:datastoreItem xmlns:ds="http://schemas.openxmlformats.org/officeDocument/2006/customXml" ds:itemID="{3D26BB10-0335-4844-A7B0-AA6E7B38563C}">
  <ds:schemaRefs/>
</ds:datastoreItem>
</file>

<file path=customXml/itemProps11.xml><?xml version="1.0" encoding="utf-8"?>
<ds:datastoreItem xmlns:ds="http://schemas.openxmlformats.org/officeDocument/2006/customXml" ds:itemID="{C87485F6-11E9-4CB6-9001-FF57ACDD1C7B}">
  <ds:schemaRefs/>
</ds:datastoreItem>
</file>

<file path=customXml/itemProps12.xml><?xml version="1.0" encoding="utf-8"?>
<ds:datastoreItem xmlns:ds="http://schemas.openxmlformats.org/officeDocument/2006/customXml" ds:itemID="{B85B2127-E55B-4F08-B3EA-2CEADB2F3BFA}">
  <ds:schemaRefs/>
</ds:datastoreItem>
</file>

<file path=customXml/itemProps13.xml><?xml version="1.0" encoding="utf-8"?>
<ds:datastoreItem xmlns:ds="http://schemas.openxmlformats.org/officeDocument/2006/customXml" ds:itemID="{0E50A22D-8477-4C41-9622-ADDDBBFF46E6}">
  <ds:schemaRefs/>
</ds:datastoreItem>
</file>

<file path=customXml/itemProps14.xml><?xml version="1.0" encoding="utf-8"?>
<ds:datastoreItem xmlns:ds="http://schemas.openxmlformats.org/officeDocument/2006/customXml" ds:itemID="{DA1B2065-D657-4A4F-B6DD-32D682CD02CB}">
  <ds:schemaRefs/>
</ds:datastoreItem>
</file>

<file path=customXml/itemProps15.xml><?xml version="1.0" encoding="utf-8"?>
<ds:datastoreItem xmlns:ds="http://schemas.openxmlformats.org/officeDocument/2006/customXml" ds:itemID="{A672EAA1-395D-4980-A3E5-064EEA81F152}">
  <ds:schemaRefs/>
</ds:datastoreItem>
</file>

<file path=customXml/itemProps16.xml><?xml version="1.0" encoding="utf-8"?>
<ds:datastoreItem xmlns:ds="http://schemas.openxmlformats.org/officeDocument/2006/customXml" ds:itemID="{D7A87A5E-E640-46EA-9DB4-51C5B21A45D5}">
  <ds:schemaRefs/>
</ds:datastoreItem>
</file>

<file path=customXml/itemProps17.xml><?xml version="1.0" encoding="utf-8"?>
<ds:datastoreItem xmlns:ds="http://schemas.openxmlformats.org/officeDocument/2006/customXml" ds:itemID="{3CDCB64C-7A67-41FB-B6DE-732EB18BA055}">
  <ds:schemaRefs/>
</ds:datastoreItem>
</file>

<file path=customXml/itemProps18.xml><?xml version="1.0" encoding="utf-8"?>
<ds:datastoreItem xmlns:ds="http://schemas.openxmlformats.org/officeDocument/2006/customXml" ds:itemID="{9388C869-D23A-406F-A4A8-5DBEAD0C8889}">
  <ds:schemaRefs/>
</ds:datastoreItem>
</file>

<file path=customXml/itemProps19.xml><?xml version="1.0" encoding="utf-8"?>
<ds:datastoreItem xmlns:ds="http://schemas.openxmlformats.org/officeDocument/2006/customXml" ds:itemID="{E42BE63F-46C4-4114-9A28-DD94AB24DE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Electronica Care</dc:creator>
  <cp:lastModifiedBy>Electronica Care</cp:lastModifiedBy>
  <dcterms:created xsi:type="dcterms:W3CDTF">2026-02-08T02:05:09Z</dcterms:created>
  <dcterms:modified xsi:type="dcterms:W3CDTF">2026-02-08T10:40:48Z</dcterms:modified>
</cp:coreProperties>
</file>